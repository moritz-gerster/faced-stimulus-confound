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oritzgerster/Downloads/"/>
    </mc:Choice>
  </mc:AlternateContent>
  <xr:revisionPtr revIDLastSave="0" documentId="13_ncr:1_{3D9C69E3-1E6D-A746-B04A-2510BA06993F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SEED comparison" sheetId="1" r:id="rId1"/>
  </sheets>
  <definedNames>
    <definedName name="_xlnm._FilterDatabase" localSheetId="0" hidden="1">'SEED comparison'!$A$1:$T$12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L9" i="1"/>
  <c r="L5" i="1"/>
  <c r="L4" i="1"/>
  <c r="L3" i="1"/>
  <c r="L2" i="1"/>
</calcChain>
</file>

<file path=xl/sharedStrings.xml><?xml version="1.0" encoding="utf-8"?>
<sst xmlns="http://schemas.openxmlformats.org/spreadsheetml/2006/main" count="179" uniqueCount="136">
  <si>
    <t>Dataset</t>
  </si>
  <si>
    <t>Year</t>
  </si>
  <si>
    <t>Task</t>
  </si>
  <si>
    <t>Publication</t>
  </si>
  <si>
    <t>Publication URL</t>
  </si>
  <si>
    <t>GS citations</t>
  </si>
  <si>
    <t>Data URL</t>
  </si>
  <si>
    <t>Code available</t>
  </si>
  <si>
    <t>Code URL</t>
  </si>
  <si>
    <t>Subjects</t>
  </si>
  <si>
    <t>Recording time / subject</t>
  </si>
  <si>
    <t>Total recording hours</t>
  </si>
  <si>
    <t>Emotions/classes</t>
  </si>
  <si>
    <t>Stimuli</t>
  </si>
  <si>
    <t>EEG channels</t>
  </si>
  <si>
    <t>Self-report / labels</t>
  </si>
  <si>
    <t>Notes</t>
  </si>
  <si>
    <t>Include?</t>
  </si>
  <si>
    <t>Rec h/subj low</t>
  </si>
  <si>
    <t>Rec h/subj high</t>
  </si>
  <si>
    <t>SEED</t>
  </si>
  <si>
    <t>Emotion recognition</t>
  </si>
  <si>
    <t>Investigating Critical Frequency Bands and Channels for EEG-Based Emotion Recognition with Deep Neural Networks</t>
  </si>
  <si>
    <t>https://doi.org/10.1109/TAFFC.2015.2431497</t>
  </si>
  <si>
    <t>https://bcmi.sjtu.edu.cn/home/seed/seed.html</t>
  </si>
  <si>
    <t>Yes</t>
  </si>
  <si>
    <t>~3 h</t>
  </si>
  <si>
    <t>3 (positive, neutral, negative)</t>
  </si>
  <si>
    <t>15 film clips; 5/emotion; ~4 min each; experiment repeated across 3 sessions</t>
  </si>
  <si>
    <t>62</t>
  </si>
  <si>
    <t>Post-clip emotional reaction questionnaire; stimulus-assigned class labels</t>
  </si>
  <si>
    <t>Highly cited classic benchmark; very few stimuli per class; strong candidate for stimulus-confound replication.</t>
  </si>
  <si>
    <t>SEED-VIG</t>
  </si>
  <si>
    <t>Vigilance / fatigue</t>
  </si>
  <si>
    <t>A Multimodal Approach to Estimating Vigilance Using EEG and Forehead EOG</t>
  </si>
  <si>
    <t>https://doi.org/10.1088/1741-2552/aa5a98</t>
  </si>
  <si>
    <t>https://bcmi.sjtu.edu.cn/home/seed/seed-vig.html</t>
  </si>
  <si>
    <t>No official analysis code identified</t>
  </si>
  <si>
    <t>~2 h</t>
  </si>
  <si>
    <t>Not emotion; continuous vigilance (PERCLOS)</t>
  </si>
  <si>
    <t>~2 h monotonous simulated driving</t>
  </si>
  <si>
    <t>17 EEG features + 4 forehead channels</t>
  </si>
  <si>
    <t>PERCLOS from eye tracking</t>
  </si>
  <si>
    <t>Raw EEG unavailable -&gt; exclude. Also not an emotion dataset.</t>
  </si>
  <si>
    <t>EXCLUDE</t>
  </si>
  <si>
    <t>SEED-IV</t>
  </si>
  <si>
    <t>EmotionMeter: A Multimodal Framework for Recognizing Human Emotions</t>
  </si>
  <si>
    <t>https://doi.org/10.1109/TCYB.2018.2797176</t>
  </si>
  <si>
    <t>https://bcmi.sjtu.edu.cn/home/seed/seed-iv.html</t>
  </si>
  <si>
    <t>No separate official model-code link found on dataset page</t>
  </si>
  <si>
    <t>~2.40 h</t>
  </si>
  <si>
    <t>4 (happy, sad, fear, neutral)</t>
  </si>
  <si>
    <t>72 film clips total; 18/emotion; 24/session x 3; ~2 min each</t>
  </si>
  <si>
    <t>Post-trial feedback; stimulus-assigned emotion labels</t>
  </si>
  <si>
    <t>Excellent stimulus-diversity comparison; much more diverse than FACED/SEED.</t>
  </si>
  <si>
    <t>SEED-V</t>
  </si>
  <si>
    <t>Comparing Recognition Performance and Robustness of Multimodal Deep Learning Models for Multimodal Emotion Recognition</t>
  </si>
  <si>
    <t>https://doi.org/10.1109/TCDS.2021.3071170</t>
  </si>
  <si>
    <t>https://bcmi.sjtu.edu.cn/home/seed/seed-v.html</t>
  </si>
  <si>
    <t>Yes (DCCA + MI code bundled)</t>
  </si>
  <si>
    <t>~2.50 h</t>
  </si>
  <si>
    <t>5 (happy, sad, fear, disgust, neutral)</t>
  </si>
  <si>
    <t>45 distinct films; 9/emotion; 15/session x 3; different clips each session; ~50 min viewing/session</t>
  </si>
  <si>
    <t>0–5 induction-effect score after each stimulus</t>
  </si>
  <si>
    <t>Very attractive: distinct clips across sessions + raw EEG + code + ratings.</t>
  </si>
  <si>
    <t>SEED-GER</t>
  </si>
  <si>
    <t>Emotion recognition / cross-cultural</t>
  </si>
  <si>
    <t>Identifying Similarities and Differences in Emotion Recognition with EEG and Eye Movements among Chinese, German, and French People</t>
  </si>
  <si>
    <t>https://doi.org/10.1088/1741-2552/ac5c8d</t>
  </si>
  <si>
    <t>https://bcmi.sjtu.edu.cn/home/seed/seed-GER.html</t>
  </si>
  <si>
    <t>Yes (bundled; page states GitHub availability)</t>
  </si>
  <si>
    <t>~1.05–4.20 h</t>
  </si>
  <si>
    <t>~8.4–33.6 h</t>
  </si>
  <si>
    <t>20 film clips listed; 21 trials/session x 3; clips ~1–4 min</t>
  </si>
  <si>
    <t>Post-film emotional reaction questionnaire</t>
  </si>
  <si>
    <t>Raw EEG available, but N=8 and coarse 3-class task; recording hours are a range because clip durations vary 1–4 min.</t>
  </si>
  <si>
    <t>SEED-FRA</t>
  </si>
  <si>
    <t>https://bcmi.sjtu.edu.cn/home/seed/seed-FRA.html</t>
  </si>
  <si>
    <t>21 film clips; 21 trials/session x 3; clips ~1–4 min</t>
  </si>
  <si>
    <t>SEED-VLA/VRW</t>
  </si>
  <si>
    <t>Driving vigilance / fatigue</t>
  </si>
  <si>
    <t>A Cross-Scenario and Cross-Subject Domain Adaptation Method for Driving Fatigue Detection</t>
  </si>
  <si>
    <t>https://doi.org/10.1088/1741-2552/ad546d</t>
  </si>
  <si>
    <t>https://bcmi.sjtu.edu.cn/home/seed/seed-VLA.html</t>
  </si>
  <si>
    <t>No official code link found on dataset page</t>
  </si>
  <si>
    <t>Not stated / not easily derivable</t>
  </si>
  <si>
    <t>Not stated</t>
  </si>
  <si>
    <t>Not emotion; vigilance</t>
  </si>
  <si>
    <t>Laboratory + real-world driving</t>
  </si>
  <si>
    <t>18</t>
  </si>
  <si>
    <t>PERCLOS vigilance labels</t>
  </si>
  <si>
    <t>Raw EEG unavailable -&gt; exclude. Also not an emotion dataset. 20 lab + 14 real-world participants.</t>
  </si>
  <si>
    <t>SEED-DV</t>
  </si>
  <si>
    <t>Dynamic visual perception / video decoding</t>
  </si>
  <si>
    <t>EEG2Video: Towards Decoding Dynamic Visual Perception from EEG Signals</t>
  </si>
  <si>
    <t>https://arxiv.org/abs/2409.11829</t>
  </si>
  <si>
    <t>https://bcmi.sjtu.edu.cn/home/eeg2video/</t>
  </si>
  <si>
    <t>https://github.com/XuanhaoLiu/EEG2Video</t>
  </si>
  <si>
    <t>~0.78 h</t>
  </si>
  <si>
    <t>Not emotion; 40 visual concepts</t>
  </si>
  <si>
    <t>1,400 video clips x 2 s</t>
  </si>
  <si>
    <t>Visual concept labels</t>
  </si>
  <si>
    <t>Not an emotion dataset; potentially useful only as a positive-control stimulus-decoding dataset.</t>
  </si>
  <si>
    <t>SEED-VII</t>
  </si>
  <si>
    <t>SEED-VII: A Multimodal Dataset of Six Basic Emotions with Continuous Labels for Emotion Recognition</t>
  </si>
  <si>
    <t>https://doi.org/10.1109/TAFFC.2024.3485057</t>
  </si>
  <si>
    <t>https://bcmi.sjtu.edu.cn/home/seed/seed-vii.html</t>
  </si>
  <si>
    <t>Yes (loading/preprocessing code bundled; MAET model code available)</t>
  </si>
  <si>
    <t>https://github.com/935963004/MAET</t>
  </si>
  <si>
    <t>~3.92 h</t>
  </si>
  <si>
    <t>7 (happy, sad, fear, disgust, neutral, anger, surprise)</t>
  </si>
  <si>
    <t>80 videos; 12 per non-neutral emotion, 8 neutral; 2–5 min; total 14,097.86 s</t>
  </si>
  <si>
    <t>0–1 subject feedback on elicitation success per clip; continuous labels</t>
  </si>
  <si>
    <t>Best scientific comparison: many stimuli, richer labels, TAC publication, raw EEG.</t>
  </si>
  <si>
    <t>SEED-SD</t>
  </si>
  <si>
    <t>Emotion recognition under sleep conditions</t>
  </si>
  <si>
    <t>Investigating the Effects of Sleep Conditions on Emotion Responses with EEG Signals and Eye Movements</t>
  </si>
  <si>
    <t>https://bcmi.sjtu.edu.cn/home/seed/seed-SD.html</t>
  </si>
  <si>
    <t>https://github.com/iiieeeve/ReLF</t>
  </si>
  <si>
    <t>4 (happiness, sadness, fear, neutral)</t>
  </si>
  <si>
    <t>24 videos/session; 6/emotion; ~2.5 min each; 3 sleep-condition sessions</t>
  </si>
  <si>
    <t>1–5 emotional-intensity ratings after each video</t>
  </si>
  <si>
    <t>Largest N among emotion SEED variants, but sleep deprivation/recovery is a major additional factor.</t>
  </si>
  <si>
    <t>SEED-MYA</t>
  </si>
  <si>
    <t>SEED-MYA: A Novel Myanmar Multimodal Dataset for Enhancing Emotion Recognition</t>
  </si>
  <si>
    <t>https://doi.org/10.1109/TAFFC.2025.3596161</t>
  </si>
  <si>
    <t>https://bcmi.sjtu.edu.cn/home/seed/seed-MYA.html</t>
  </si>
  <si>
    <t>~2.25–3.00 h</t>
  </si>
  <si>
    <t>~45.0–60.0 h</t>
  </si>
  <si>
    <t>45 distinct films; 15/emotion; 15/session x 3; different clips across sessions; 3–4 min each</t>
  </si>
  <si>
    <t>Methodologically clean stimulus diversity and raw EEG, but very recent and only 3 broad classes.</t>
  </si>
  <si>
    <t>EXCLUDE, sleep confound</t>
  </si>
  <si>
    <t>LOW SAMPLE SIZE</t>
  </si>
  <si>
    <t>112 (many for a new paper)</t>
  </si>
  <si>
    <t>looks good</t>
  </si>
  <si>
    <t>looks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</si>
</sst>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2" applyAlignment="1">
      <alignment vertical="top" wrapText="1"/>
    </xf>
    <xf numFmtId="0" fontId="3" fillId="4" borderId="0" xfId="2"/>
    <xf numFmtId="164" fontId="3" fillId="4" borderId="0" xfId="2" applyNumberFormat="1" applyAlignment="1">
      <alignment vertical="top" wrapText="1"/>
    </xf>
    <xf numFmtId="0" fontId="4" fillId="5" borderId="0" xfId="3" applyAlignment="1">
      <alignment vertical="top" wrapText="1"/>
    </xf>
    <xf numFmtId="0" fontId="4" fillId="5" borderId="0" xfId="3"/>
    <xf numFmtId="0" fontId="2" fillId="3" borderId="0" xfId="1" applyAlignment="1">
      <alignment vertical="top" wrapText="1"/>
    </xf>
    <xf numFmtId="0" fontId="2" fillId="3" borderId="0" xfId="1"/>
    <xf numFmtId="164" fontId="2" fillId="3" borderId="0" xfId="1" applyNumberFormat="1" applyAlignment="1">
      <alignment vertical="top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88/1741-2552/ac5c8d" TargetMode="External"/><Relationship Id="rId18" Type="http://schemas.openxmlformats.org/officeDocument/2006/relationships/hyperlink" Target="https://bcmi.sjtu.edu.cn/home/seed/seed-FRA.html" TargetMode="External"/><Relationship Id="rId26" Type="http://schemas.openxmlformats.org/officeDocument/2006/relationships/hyperlink" Target="https://bcmi.sjtu.edu.cn/home/seed/seed-vii.html" TargetMode="External"/><Relationship Id="rId3" Type="http://schemas.openxmlformats.org/officeDocument/2006/relationships/hyperlink" Target="https://bcmi.sjtu.edu.cn/home/seed/seed.html" TargetMode="External"/><Relationship Id="rId21" Type="http://schemas.openxmlformats.org/officeDocument/2006/relationships/hyperlink" Target="https://bcmi.sjtu.edu.cn/home/seed/seed-VLA.html" TargetMode="External"/><Relationship Id="rId7" Type="http://schemas.openxmlformats.org/officeDocument/2006/relationships/hyperlink" Target="https://doi.org/10.1109/TCYB.2018.2797176" TargetMode="External"/><Relationship Id="rId12" Type="http://schemas.openxmlformats.org/officeDocument/2006/relationships/hyperlink" Target="https://bcmi.sjtu.edu.cn/home/seed/seed-v.html" TargetMode="External"/><Relationship Id="rId17" Type="http://schemas.openxmlformats.org/officeDocument/2006/relationships/hyperlink" Target="https://bcmi.sjtu.edu.cn/home/seed/seed-FRA.html" TargetMode="External"/><Relationship Id="rId25" Type="http://schemas.openxmlformats.org/officeDocument/2006/relationships/hyperlink" Target="https://doi.org/10.1109/TAFFC.2024.3485057" TargetMode="External"/><Relationship Id="rId33" Type="http://schemas.openxmlformats.org/officeDocument/2006/relationships/hyperlink" Target="https://bcmi.sjtu.edu.cn/home/seed/seed-MYA.html" TargetMode="External"/><Relationship Id="rId2" Type="http://schemas.openxmlformats.org/officeDocument/2006/relationships/hyperlink" Target="https://bcmi.sjtu.edu.cn/home/seed/seed.html" TargetMode="External"/><Relationship Id="rId16" Type="http://schemas.openxmlformats.org/officeDocument/2006/relationships/hyperlink" Target="https://doi.org/10.1088/1741-2552/ac5c8d" TargetMode="External"/><Relationship Id="rId20" Type="http://schemas.openxmlformats.org/officeDocument/2006/relationships/hyperlink" Target="https://bcmi.sjtu.edu.cn/home/seed/seed-VLA.html" TargetMode="External"/><Relationship Id="rId29" Type="http://schemas.openxmlformats.org/officeDocument/2006/relationships/hyperlink" Target="https://bcmi.sjtu.edu.cn/home/seed/seed-SD.html" TargetMode="External"/><Relationship Id="rId1" Type="http://schemas.openxmlformats.org/officeDocument/2006/relationships/hyperlink" Target="https://doi.org/10.1109/TAFFC.2015.2431497" TargetMode="External"/><Relationship Id="rId6" Type="http://schemas.openxmlformats.org/officeDocument/2006/relationships/hyperlink" Target="https://bcmi.sjtu.edu.cn/home/seed/seed-vig.html" TargetMode="External"/><Relationship Id="rId11" Type="http://schemas.openxmlformats.org/officeDocument/2006/relationships/hyperlink" Target="https://bcmi.sjtu.edu.cn/home/seed/seed-v.html" TargetMode="External"/><Relationship Id="rId24" Type="http://schemas.openxmlformats.org/officeDocument/2006/relationships/hyperlink" Target="https://github.com/XuanhaoLiu/EEG2Video" TargetMode="External"/><Relationship Id="rId32" Type="http://schemas.openxmlformats.org/officeDocument/2006/relationships/hyperlink" Target="https://bcmi.sjtu.edu.cn/home/seed/seed-MYA.html" TargetMode="External"/><Relationship Id="rId5" Type="http://schemas.openxmlformats.org/officeDocument/2006/relationships/hyperlink" Target="https://bcmi.sjtu.edu.cn/home/seed/seed-vig.html" TargetMode="External"/><Relationship Id="rId15" Type="http://schemas.openxmlformats.org/officeDocument/2006/relationships/hyperlink" Target="https://bcmi.sjtu.edu.cn/home/seed/seed-GER.html" TargetMode="External"/><Relationship Id="rId23" Type="http://schemas.openxmlformats.org/officeDocument/2006/relationships/hyperlink" Target="https://bcmi.sjtu.edu.cn/home/eeg2video/" TargetMode="External"/><Relationship Id="rId28" Type="http://schemas.openxmlformats.org/officeDocument/2006/relationships/hyperlink" Target="https://bcmi.sjtu.edu.cn/home/seed/seed-SD.html" TargetMode="External"/><Relationship Id="rId10" Type="http://schemas.openxmlformats.org/officeDocument/2006/relationships/hyperlink" Target="https://doi.org/10.1109/TCDS.2021.3071170" TargetMode="External"/><Relationship Id="rId19" Type="http://schemas.openxmlformats.org/officeDocument/2006/relationships/hyperlink" Target="https://doi.org/10.1088/1741-2552/ad546d" TargetMode="External"/><Relationship Id="rId31" Type="http://schemas.openxmlformats.org/officeDocument/2006/relationships/hyperlink" Target="https://doi.org/10.1109/TAFFC.2025.3596161" TargetMode="External"/><Relationship Id="rId4" Type="http://schemas.openxmlformats.org/officeDocument/2006/relationships/hyperlink" Target="https://doi.org/10.1088/1741-2552/aa5a98" TargetMode="External"/><Relationship Id="rId9" Type="http://schemas.openxmlformats.org/officeDocument/2006/relationships/hyperlink" Target="https://bcmi.sjtu.edu.cn/home/seed/seed-iv.html" TargetMode="External"/><Relationship Id="rId14" Type="http://schemas.openxmlformats.org/officeDocument/2006/relationships/hyperlink" Target="https://bcmi.sjtu.edu.cn/home/seed/seed-GER.html" TargetMode="External"/><Relationship Id="rId22" Type="http://schemas.openxmlformats.org/officeDocument/2006/relationships/hyperlink" Target="https://arxiv.org/abs/2409.11829" TargetMode="External"/><Relationship Id="rId27" Type="http://schemas.openxmlformats.org/officeDocument/2006/relationships/hyperlink" Target="https://github.com/935963004/MAET" TargetMode="External"/><Relationship Id="rId30" Type="http://schemas.openxmlformats.org/officeDocument/2006/relationships/hyperlink" Target="https://github.com/iiieeeve/ReLF" TargetMode="External"/><Relationship Id="rId8" Type="http://schemas.openxmlformats.org/officeDocument/2006/relationships/hyperlink" Target="https://bcmi.sjtu.edu.cn/home/seed/seed-iv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3" width="25" customWidth="1"/>
    <col min="4" max="4" width="55" customWidth="1"/>
    <col min="5" max="5" width="9.5" customWidth="1"/>
    <col min="6" max="6" width="28" customWidth="1"/>
    <col min="7" max="7" width="10.5" customWidth="1"/>
    <col min="8" max="8" width="28" customWidth="1"/>
    <col min="9" max="9" width="11.33203125" customWidth="1"/>
    <col min="10" max="10" width="10" customWidth="1"/>
    <col min="11" max="12" width="20" customWidth="1"/>
    <col min="13" max="13" width="28" customWidth="1"/>
    <col min="14" max="14" width="39.5" customWidth="1"/>
    <col min="15" max="15" width="14" customWidth="1"/>
    <col min="16" max="16" width="40" customWidth="1"/>
    <col min="17" max="17" width="60" customWidth="1"/>
    <col min="18" max="18" width="26" customWidth="1"/>
    <col min="19" max="20" width="14" hidden="1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8" customFormat="1" ht="34" x14ac:dyDescent="0.2">
      <c r="A2" s="7" t="s">
        <v>20</v>
      </c>
      <c r="B2" s="7">
        <v>2015</v>
      </c>
      <c r="C2" s="7" t="s">
        <v>21</v>
      </c>
      <c r="D2" s="7" t="s">
        <v>22</v>
      </c>
      <c r="E2" s="8" t="s">
        <v>23</v>
      </c>
      <c r="F2" s="7">
        <v>3177</v>
      </c>
      <c r="G2" s="8" t="s">
        <v>24</v>
      </c>
      <c r="H2" s="7" t="s">
        <v>25</v>
      </c>
      <c r="I2" s="8" t="s">
        <v>24</v>
      </c>
      <c r="J2" s="7">
        <v>15</v>
      </c>
      <c r="K2" s="7" t="s">
        <v>26</v>
      </c>
      <c r="L2" s="9">
        <f>J2*S2</f>
        <v>45</v>
      </c>
      <c r="M2" s="7" t="s">
        <v>27</v>
      </c>
      <c r="N2" s="7" t="s">
        <v>28</v>
      </c>
      <c r="O2" s="7" t="s">
        <v>29</v>
      </c>
      <c r="P2" s="7" t="s">
        <v>30</v>
      </c>
      <c r="Q2" s="7" t="s">
        <v>31</v>
      </c>
      <c r="R2" s="7" t="s">
        <v>134</v>
      </c>
      <c r="S2" s="7">
        <v>3</v>
      </c>
      <c r="T2" s="7">
        <v>3</v>
      </c>
    </row>
    <row r="3" spans="1:20" s="3" customFormat="1" ht="68" x14ac:dyDescent="0.2">
      <c r="A3" s="2" t="s">
        <v>32</v>
      </c>
      <c r="B3" s="2">
        <v>2017</v>
      </c>
      <c r="C3" s="2" t="s">
        <v>33</v>
      </c>
      <c r="D3" s="2" t="s">
        <v>34</v>
      </c>
      <c r="E3" s="3" t="s">
        <v>35</v>
      </c>
      <c r="F3" s="2"/>
      <c r="G3" s="3" t="s">
        <v>36</v>
      </c>
      <c r="H3" s="2" t="s">
        <v>37</v>
      </c>
      <c r="I3" s="3" t="s">
        <v>36</v>
      </c>
      <c r="J3" s="2">
        <v>23</v>
      </c>
      <c r="K3" s="2" t="s">
        <v>38</v>
      </c>
      <c r="L3" s="4">
        <f>J3*S3</f>
        <v>46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>
        <v>2</v>
      </c>
      <c r="T3" s="2">
        <v>2</v>
      </c>
    </row>
    <row r="4" spans="1:20" s="8" customFormat="1" ht="34" x14ac:dyDescent="0.2">
      <c r="A4" s="7" t="s">
        <v>45</v>
      </c>
      <c r="B4" s="7">
        <v>2019</v>
      </c>
      <c r="C4" s="7" t="s">
        <v>21</v>
      </c>
      <c r="D4" s="7" t="s">
        <v>46</v>
      </c>
      <c r="E4" s="8" t="s">
        <v>47</v>
      </c>
      <c r="F4" s="7">
        <v>1529</v>
      </c>
      <c r="G4" s="8" t="s">
        <v>48</v>
      </c>
      <c r="H4" s="7" t="s">
        <v>49</v>
      </c>
      <c r="I4" s="8" t="s">
        <v>48</v>
      </c>
      <c r="J4" s="7">
        <v>15</v>
      </c>
      <c r="K4" s="7" t="s">
        <v>50</v>
      </c>
      <c r="L4" s="9">
        <f>J4*S4</f>
        <v>36</v>
      </c>
      <c r="M4" s="7" t="s">
        <v>51</v>
      </c>
      <c r="N4" s="7" t="s">
        <v>52</v>
      </c>
      <c r="O4" s="7" t="s">
        <v>29</v>
      </c>
      <c r="P4" s="7" t="s">
        <v>53</v>
      </c>
      <c r="Q4" s="7" t="s">
        <v>54</v>
      </c>
      <c r="R4" s="7" t="s">
        <v>134</v>
      </c>
      <c r="S4" s="7">
        <v>2.4</v>
      </c>
      <c r="T4" s="7">
        <v>2.4</v>
      </c>
    </row>
    <row r="5" spans="1:20" s="8" customFormat="1" ht="51" x14ac:dyDescent="0.2">
      <c r="A5" s="7" t="s">
        <v>55</v>
      </c>
      <c r="B5" s="7">
        <v>2021</v>
      </c>
      <c r="C5" s="7" t="s">
        <v>21</v>
      </c>
      <c r="D5" s="7" t="s">
        <v>56</v>
      </c>
      <c r="E5" s="8" t="s">
        <v>57</v>
      </c>
      <c r="F5" s="7">
        <v>590</v>
      </c>
      <c r="G5" s="8" t="s">
        <v>58</v>
      </c>
      <c r="H5" s="7" t="s">
        <v>59</v>
      </c>
      <c r="I5" s="8" t="s">
        <v>58</v>
      </c>
      <c r="J5" s="7">
        <v>16</v>
      </c>
      <c r="K5" s="7" t="s">
        <v>60</v>
      </c>
      <c r="L5" s="9">
        <f>J5*S5</f>
        <v>40</v>
      </c>
      <c r="M5" s="7" t="s">
        <v>61</v>
      </c>
      <c r="N5" s="7" t="s">
        <v>62</v>
      </c>
      <c r="O5" s="7" t="s">
        <v>29</v>
      </c>
      <c r="P5" s="7" t="s">
        <v>63</v>
      </c>
      <c r="Q5" s="7" t="s">
        <v>64</v>
      </c>
      <c r="R5" s="7" t="s">
        <v>134</v>
      </c>
      <c r="S5" s="7">
        <v>2.5</v>
      </c>
      <c r="T5" s="7">
        <v>2.5</v>
      </c>
    </row>
    <row r="6" spans="1:20" s="6" customFormat="1" ht="51" x14ac:dyDescent="0.2">
      <c r="A6" s="5" t="s">
        <v>65</v>
      </c>
      <c r="B6" s="5">
        <v>2022</v>
      </c>
      <c r="C6" s="5" t="s">
        <v>66</v>
      </c>
      <c r="D6" s="5" t="s">
        <v>67</v>
      </c>
      <c r="E6" s="6" t="s">
        <v>68</v>
      </c>
      <c r="F6" s="5">
        <v>120</v>
      </c>
      <c r="G6" s="6" t="s">
        <v>69</v>
      </c>
      <c r="H6" s="5" t="s">
        <v>70</v>
      </c>
      <c r="I6" s="6" t="s">
        <v>69</v>
      </c>
      <c r="J6" s="5">
        <v>8</v>
      </c>
      <c r="K6" s="5" t="s">
        <v>71</v>
      </c>
      <c r="L6" s="5" t="s">
        <v>72</v>
      </c>
      <c r="M6" s="5" t="s">
        <v>27</v>
      </c>
      <c r="N6" s="5" t="s">
        <v>73</v>
      </c>
      <c r="O6" s="5" t="s">
        <v>29</v>
      </c>
      <c r="P6" s="5" t="s">
        <v>74</v>
      </c>
      <c r="Q6" s="5" t="s">
        <v>75</v>
      </c>
      <c r="R6" s="5" t="s">
        <v>132</v>
      </c>
      <c r="S6" s="5">
        <v>1.05</v>
      </c>
      <c r="T6" s="5">
        <v>4.2</v>
      </c>
    </row>
    <row r="7" spans="1:20" s="6" customFormat="1" ht="51" x14ac:dyDescent="0.2">
      <c r="A7" s="5" t="s">
        <v>76</v>
      </c>
      <c r="B7" s="5">
        <v>2022</v>
      </c>
      <c r="C7" s="5" t="s">
        <v>66</v>
      </c>
      <c r="D7" s="5" t="s">
        <v>67</v>
      </c>
      <c r="E7" s="6" t="s">
        <v>68</v>
      </c>
      <c r="F7" s="5">
        <v>120</v>
      </c>
      <c r="G7" s="6" t="s">
        <v>77</v>
      </c>
      <c r="H7" s="5" t="s">
        <v>70</v>
      </c>
      <c r="I7" s="6" t="s">
        <v>77</v>
      </c>
      <c r="J7" s="5">
        <v>8</v>
      </c>
      <c r="K7" s="5" t="s">
        <v>71</v>
      </c>
      <c r="L7" s="5" t="s">
        <v>72</v>
      </c>
      <c r="M7" s="5" t="s">
        <v>27</v>
      </c>
      <c r="N7" s="5" t="s">
        <v>78</v>
      </c>
      <c r="O7" s="5" t="s">
        <v>29</v>
      </c>
      <c r="P7" s="5" t="s">
        <v>74</v>
      </c>
      <c r="Q7" s="5" t="s">
        <v>75</v>
      </c>
      <c r="R7" s="5" t="s">
        <v>132</v>
      </c>
      <c r="S7" s="5">
        <v>1.05</v>
      </c>
      <c r="T7" s="5">
        <v>4.2</v>
      </c>
    </row>
    <row r="8" spans="1:20" s="3" customFormat="1" ht="34" x14ac:dyDescent="0.2">
      <c r="A8" s="2" t="s">
        <v>79</v>
      </c>
      <c r="B8" s="2">
        <v>2024</v>
      </c>
      <c r="C8" s="2" t="s">
        <v>80</v>
      </c>
      <c r="D8" s="2" t="s">
        <v>81</v>
      </c>
      <c r="E8" s="3" t="s">
        <v>82</v>
      </c>
      <c r="F8" s="2"/>
      <c r="G8" s="3" t="s">
        <v>83</v>
      </c>
      <c r="H8" s="2" t="s">
        <v>84</v>
      </c>
      <c r="I8" s="3" t="s">
        <v>83</v>
      </c>
      <c r="J8" s="2">
        <v>34</v>
      </c>
      <c r="K8" s="2" t="s">
        <v>85</v>
      </c>
      <c r="L8" s="2" t="s">
        <v>86</v>
      </c>
      <c r="M8" s="2" t="s">
        <v>87</v>
      </c>
      <c r="N8" s="2" t="s">
        <v>88</v>
      </c>
      <c r="O8" s="2" t="s">
        <v>89</v>
      </c>
      <c r="P8" s="2" t="s">
        <v>90</v>
      </c>
      <c r="Q8" s="2" t="s">
        <v>91</v>
      </c>
      <c r="R8" s="2" t="s">
        <v>44</v>
      </c>
      <c r="S8" s="2"/>
      <c r="T8" s="2"/>
    </row>
    <row r="9" spans="1:20" s="3" customFormat="1" ht="34" x14ac:dyDescent="0.2">
      <c r="A9" s="2" t="s">
        <v>92</v>
      </c>
      <c r="B9" s="2">
        <v>2024</v>
      </c>
      <c r="C9" s="2" t="s">
        <v>93</v>
      </c>
      <c r="D9" s="2" t="s">
        <v>94</v>
      </c>
      <c r="E9" s="3" t="s">
        <v>95</v>
      </c>
      <c r="F9" s="2"/>
      <c r="G9" s="3" t="s">
        <v>96</v>
      </c>
      <c r="H9" s="2" t="s">
        <v>25</v>
      </c>
      <c r="I9" s="3" t="s">
        <v>97</v>
      </c>
      <c r="J9" s="2">
        <v>20</v>
      </c>
      <c r="K9" s="2" t="s">
        <v>98</v>
      </c>
      <c r="L9" s="4">
        <f>J9*S9</f>
        <v>15.56</v>
      </c>
      <c r="M9" s="2" t="s">
        <v>99</v>
      </c>
      <c r="N9" s="2" t="s">
        <v>100</v>
      </c>
      <c r="O9" s="2" t="s">
        <v>29</v>
      </c>
      <c r="P9" s="2" t="s">
        <v>101</v>
      </c>
      <c r="Q9" s="2" t="s">
        <v>102</v>
      </c>
      <c r="R9" s="2" t="s">
        <v>44</v>
      </c>
      <c r="S9" s="2">
        <v>0.77800000000000002</v>
      </c>
      <c r="T9" s="2">
        <v>0.77800000000000002</v>
      </c>
    </row>
    <row r="10" spans="1:20" s="8" customFormat="1" ht="51" x14ac:dyDescent="0.2">
      <c r="A10" s="7" t="s">
        <v>103</v>
      </c>
      <c r="B10" s="7">
        <v>2025</v>
      </c>
      <c r="C10" s="7" t="s">
        <v>21</v>
      </c>
      <c r="D10" s="7" t="s">
        <v>104</v>
      </c>
      <c r="E10" s="8" t="s">
        <v>105</v>
      </c>
      <c r="F10" s="7" t="s">
        <v>133</v>
      </c>
      <c r="G10" s="8" t="s">
        <v>106</v>
      </c>
      <c r="H10" s="7" t="s">
        <v>107</v>
      </c>
      <c r="I10" s="8" t="s">
        <v>108</v>
      </c>
      <c r="J10" s="7">
        <v>20</v>
      </c>
      <c r="K10" s="7" t="s">
        <v>109</v>
      </c>
      <c r="L10" s="9">
        <f>J10*S10</f>
        <v>78.319999999999993</v>
      </c>
      <c r="M10" s="7" t="s">
        <v>110</v>
      </c>
      <c r="N10" s="7" t="s">
        <v>111</v>
      </c>
      <c r="O10" s="7" t="s">
        <v>29</v>
      </c>
      <c r="P10" s="7" t="s">
        <v>112</v>
      </c>
      <c r="Q10" s="7" t="s">
        <v>113</v>
      </c>
      <c r="R10" s="7" t="s">
        <v>134</v>
      </c>
      <c r="S10" s="7">
        <v>3.9159999999999999</v>
      </c>
      <c r="T10" s="7">
        <v>3.9159999999999999</v>
      </c>
    </row>
    <row r="11" spans="1:20" s="3" customFormat="1" ht="34" x14ac:dyDescent="0.2">
      <c r="A11" s="2" t="s">
        <v>114</v>
      </c>
      <c r="B11" s="2">
        <v>2025</v>
      </c>
      <c r="C11" s="2" t="s">
        <v>115</v>
      </c>
      <c r="D11" s="2" t="s">
        <v>116</v>
      </c>
      <c r="E11" s="3" t="s">
        <v>117</v>
      </c>
      <c r="F11" s="2"/>
      <c r="G11" s="3" t="s">
        <v>117</v>
      </c>
      <c r="H11" s="2" t="s">
        <v>25</v>
      </c>
      <c r="I11" s="3" t="s">
        <v>118</v>
      </c>
      <c r="J11" s="2">
        <v>40</v>
      </c>
      <c r="K11" s="2" t="s">
        <v>26</v>
      </c>
      <c r="L11" s="4">
        <f>J11*S11</f>
        <v>120</v>
      </c>
      <c r="M11" s="2" t="s">
        <v>119</v>
      </c>
      <c r="N11" s="2" t="s">
        <v>120</v>
      </c>
      <c r="O11" s="2" t="s">
        <v>29</v>
      </c>
      <c r="P11" s="2" t="s">
        <v>121</v>
      </c>
      <c r="Q11" s="2" t="s">
        <v>122</v>
      </c>
      <c r="R11" s="2" t="s">
        <v>131</v>
      </c>
      <c r="S11" s="2">
        <v>3</v>
      </c>
      <c r="T11" s="2">
        <v>3</v>
      </c>
    </row>
    <row r="12" spans="1:20" s="8" customFormat="1" ht="16" x14ac:dyDescent="0.2">
      <c r="A12" s="8" t="s">
        <v>123</v>
      </c>
      <c r="B12" s="8">
        <v>2025</v>
      </c>
      <c r="C12" s="8" t="s">
        <v>66</v>
      </c>
      <c r="D12" s="8" t="s">
        <v>124</v>
      </c>
      <c r="E12" s="8" t="s">
        <v>125</v>
      </c>
      <c r="F12" s="8">
        <v>3</v>
      </c>
      <c r="G12" s="8" t="s">
        <v>126</v>
      </c>
      <c r="H12" s="8" t="s">
        <v>70</v>
      </c>
      <c r="I12" s="8" t="s">
        <v>126</v>
      </c>
      <c r="J12" s="8">
        <v>20</v>
      </c>
      <c r="K12" s="8" t="s">
        <v>127</v>
      </c>
      <c r="L12" s="8" t="s">
        <v>128</v>
      </c>
      <c r="M12" s="8" t="s">
        <v>27</v>
      </c>
      <c r="N12" s="8" t="s">
        <v>129</v>
      </c>
      <c r="O12" s="8" t="s">
        <v>29</v>
      </c>
      <c r="P12" s="8" t="s">
        <v>74</v>
      </c>
      <c r="Q12" s="8" t="s">
        <v>130</v>
      </c>
      <c r="R12" s="8" t="s">
        <v>135</v>
      </c>
      <c r="S12" s="8">
        <v>2.25</v>
      </c>
      <c r="T12" s="8">
        <v>3</v>
      </c>
    </row>
  </sheetData>
  <autoFilter ref="A1:T12" xr:uid="{00000000-0009-0000-0000-000000000000}"/>
  <hyperlinks>
    <hyperlink ref="E2" r:id="rId1" xr:uid="{00000000-0004-0000-0000-000000000000}"/>
    <hyperlink ref="G2" r:id="rId2" xr:uid="{00000000-0004-0000-0000-000001000000}"/>
    <hyperlink ref="I2" r:id="rId3" xr:uid="{00000000-0004-0000-0000-000002000000}"/>
    <hyperlink ref="E3" r:id="rId4" xr:uid="{00000000-0004-0000-0000-000003000000}"/>
    <hyperlink ref="G3" r:id="rId5" xr:uid="{00000000-0004-0000-0000-000004000000}"/>
    <hyperlink ref="I3" r:id="rId6" xr:uid="{00000000-0004-0000-0000-000005000000}"/>
    <hyperlink ref="E4" r:id="rId7" xr:uid="{00000000-0004-0000-0000-000006000000}"/>
    <hyperlink ref="G4" r:id="rId8" xr:uid="{00000000-0004-0000-0000-000007000000}"/>
    <hyperlink ref="I4" r:id="rId9" xr:uid="{00000000-0004-0000-0000-000008000000}"/>
    <hyperlink ref="E5" r:id="rId10" xr:uid="{00000000-0004-0000-0000-000009000000}"/>
    <hyperlink ref="G5" r:id="rId11" xr:uid="{00000000-0004-0000-0000-00000A000000}"/>
    <hyperlink ref="I5" r:id="rId12" xr:uid="{00000000-0004-0000-0000-00000B000000}"/>
    <hyperlink ref="E6" r:id="rId13" xr:uid="{00000000-0004-0000-0000-00000C000000}"/>
    <hyperlink ref="G6" r:id="rId14" xr:uid="{00000000-0004-0000-0000-00000D000000}"/>
    <hyperlink ref="I6" r:id="rId15" xr:uid="{00000000-0004-0000-0000-00000E000000}"/>
    <hyperlink ref="E7" r:id="rId16" xr:uid="{00000000-0004-0000-0000-00000F000000}"/>
    <hyperlink ref="G7" r:id="rId17" xr:uid="{00000000-0004-0000-0000-000010000000}"/>
    <hyperlink ref="I7" r:id="rId18" xr:uid="{00000000-0004-0000-0000-000011000000}"/>
    <hyperlink ref="E8" r:id="rId19" xr:uid="{00000000-0004-0000-0000-000012000000}"/>
    <hyperlink ref="G8" r:id="rId20" xr:uid="{00000000-0004-0000-0000-000013000000}"/>
    <hyperlink ref="I8" r:id="rId21" xr:uid="{00000000-0004-0000-0000-000014000000}"/>
    <hyperlink ref="E9" r:id="rId22" xr:uid="{00000000-0004-0000-0000-000015000000}"/>
    <hyperlink ref="G9" r:id="rId23" xr:uid="{00000000-0004-0000-0000-000016000000}"/>
    <hyperlink ref="I9" r:id="rId24" xr:uid="{00000000-0004-0000-0000-000017000000}"/>
    <hyperlink ref="E10" r:id="rId25" xr:uid="{00000000-0004-0000-0000-000018000000}"/>
    <hyperlink ref="G10" r:id="rId26" xr:uid="{00000000-0004-0000-0000-000019000000}"/>
    <hyperlink ref="I10" r:id="rId27" xr:uid="{00000000-0004-0000-0000-00001A000000}"/>
    <hyperlink ref="E11" r:id="rId28" xr:uid="{00000000-0004-0000-0000-00001B000000}"/>
    <hyperlink ref="G11" r:id="rId29" xr:uid="{00000000-0004-0000-0000-00001C000000}"/>
    <hyperlink ref="I11" r:id="rId30" xr:uid="{00000000-0004-0000-0000-00001D000000}"/>
    <hyperlink ref="E12" r:id="rId31" xr:uid="{00000000-0004-0000-0000-00001E000000}"/>
    <hyperlink ref="G12" r:id="rId32" xr:uid="{00000000-0004-0000-0000-00001F000000}"/>
    <hyperlink ref="I12" r:id="rId33" xr:uid="{00000000-0004-0000-0000-00002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Moritz Gerster</cp:lastModifiedBy>
  <dcterms:created xsi:type="dcterms:W3CDTF">2026-08-07T13:15:58Z</dcterms:created>
  <dcterms:modified xsi:type="dcterms:W3CDTF">2026-08-07T13:56:46Z</dcterms:modified>
</cp:coreProperties>
</file>